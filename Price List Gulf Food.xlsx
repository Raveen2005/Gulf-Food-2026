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eenpieris/Documents/Nature Ceylon /"/>
    </mc:Choice>
  </mc:AlternateContent>
  <xr:revisionPtr revIDLastSave="0" documentId="13_ncr:1_{03FF4CE3-31D1-8347-BDE3-4CD9B4BBAC5E}" xr6:coauthVersionLast="47" xr6:coauthVersionMax="47" xr10:uidLastSave="{00000000-0000-0000-0000-000000000000}"/>
  <bookViews>
    <workbookView xWindow="0" yWindow="660" windowWidth="29400" windowHeight="18460" xr2:uid="{F6A052A1-B541-9A4A-91A6-6AF486EBE7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J2" i="1"/>
  <c r="I2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</calcChain>
</file>

<file path=xl/sharedStrings.xml><?xml version="1.0" encoding="utf-8"?>
<sst xmlns="http://schemas.openxmlformats.org/spreadsheetml/2006/main" count="86" uniqueCount="55">
  <si>
    <t>GRADE</t>
  </si>
  <si>
    <t>OP1</t>
  </si>
  <si>
    <t>OPA</t>
  </si>
  <si>
    <t>OP</t>
  </si>
  <si>
    <t>BOP1</t>
  </si>
  <si>
    <t>PEKOE1</t>
  </si>
  <si>
    <t xml:space="preserve">PEKOE </t>
  </si>
  <si>
    <t>FBOP</t>
  </si>
  <si>
    <t xml:space="preserve">BOP </t>
  </si>
  <si>
    <t>BM</t>
  </si>
  <si>
    <t>BOP</t>
  </si>
  <si>
    <t>BM(IRAQ)</t>
  </si>
  <si>
    <t>OPA(AL BAKHEERA 10KG</t>
  </si>
  <si>
    <t>OPA(IRAQ)</t>
  </si>
  <si>
    <t>OPA(AL RAED)</t>
  </si>
  <si>
    <t>BOP1A</t>
  </si>
  <si>
    <t>BOPF</t>
  </si>
  <si>
    <t>PF1</t>
  </si>
  <si>
    <t>DUST</t>
  </si>
  <si>
    <t>FBOPFEXSP1</t>
  </si>
  <si>
    <t>FBOPFSP</t>
  </si>
  <si>
    <t>GTYH</t>
  </si>
  <si>
    <t>GTGP1</t>
  </si>
  <si>
    <t>GT-OPA</t>
  </si>
  <si>
    <t>GT-CS</t>
  </si>
  <si>
    <t>GT-FGNSSP</t>
  </si>
  <si>
    <t>STD</t>
  </si>
  <si>
    <t>HA</t>
  </si>
  <si>
    <t>ET</t>
  </si>
  <si>
    <t>BET</t>
  </si>
  <si>
    <t>47+</t>
  </si>
  <si>
    <t>57+</t>
  </si>
  <si>
    <t>LB</t>
  </si>
  <si>
    <t>41+</t>
  </si>
  <si>
    <t>41 CL</t>
  </si>
  <si>
    <t>SF</t>
  </si>
  <si>
    <t>MOA</t>
  </si>
  <si>
    <t>MOE</t>
  </si>
  <si>
    <t>AB</t>
  </si>
  <si>
    <t>AB10</t>
  </si>
  <si>
    <t>B-AR</t>
  </si>
  <si>
    <t>E1</t>
  </si>
  <si>
    <t>E2</t>
  </si>
  <si>
    <t>E3</t>
  </si>
  <si>
    <t>ARC</t>
  </si>
  <si>
    <t>BRT+</t>
  </si>
  <si>
    <t xml:space="preserve">BRT </t>
  </si>
  <si>
    <t>PRICE</t>
  </si>
  <si>
    <t xml:space="preserve">Bulk </t>
  </si>
  <si>
    <t xml:space="preserve">10KG </t>
  </si>
  <si>
    <t>5KG</t>
  </si>
  <si>
    <t xml:space="preserve">1KG Carton </t>
  </si>
  <si>
    <t xml:space="preserve">500g Carton </t>
  </si>
  <si>
    <t xml:space="preserve">250g Carton </t>
  </si>
  <si>
    <t xml:space="preserve">100g Carton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</si>
</sst>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Bahnschrift SemiCondensed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71" fontId="0" fillId="0" borderId="0" xfId="0" applyNumberFormat="1"/>
    <xf numFmtId="2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1" formatCode="0.000"/>
    </dxf>
    <dxf>
      <numFmt numFmtId="171" formatCode="0.000"/>
    </dxf>
    <dxf>
      <numFmt numFmtId="171" formatCode="0.000"/>
    </dxf>
    <dxf>
      <numFmt numFmtId="171" formatCode="0.000"/>
    </dxf>
    <dxf>
      <numFmt numFmtId="2" formatCode="0.00"/>
    </dxf>
    <dxf>
      <numFmt numFmtId="171" formatCode="0.000"/>
    </dxf>
    <dxf>
      <numFmt numFmtId="171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C24D9-A827-EB4F-8C94-957AEB9D54B8}" name="Table1" displayName="Table1" ref="A1:J54" totalsRowShown="0" headerRowDxfId="1" tableBorderDxfId="11">
  <autoFilter ref="A1:J54" xr:uid="{3FEC24D9-A827-EB4F-8C94-957AEB9D54B8}"/>
  <tableColumns count="10">
    <tableColumn id="1" xr3:uid="{CADA2E4B-2C20-CC49-AB4E-3B73B3FEADC4}" name="GRADE" dataDxfId="10"/>
    <tableColumn id="2" xr3:uid="{817FC285-6853-1149-8C6B-067506A4AAD8}" name="STD" dataDxfId="9"/>
    <tableColumn id="3" xr3:uid="{728EC23F-A033-644E-89B9-0A718D957CCD}" name="PRICE" dataDxfId="0"/>
    <tableColumn id="4" xr3:uid="{D7ACA282-E89F-8F40-87C2-CBC6544B5DA6}" name="Bulk " dataDxfId="8">
      <calculatedColumnFormula>(C2+75)/308</calculatedColumnFormula>
    </tableColumn>
    <tableColumn id="5" xr3:uid="{3E878A04-7BDA-8C47-8198-836382997C36}" name="10KG " dataDxfId="7">
      <calculatedColumnFormula>(C2+90)/308</calculatedColumnFormula>
    </tableColumn>
    <tableColumn id="6" xr3:uid="{BBE99335-F771-B647-B8F6-B80DDBE4B601}" name="5KG" dataDxfId="6">
      <calculatedColumnFormula>(C2+100)/308</calculatedColumnFormula>
    </tableColumn>
    <tableColumn id="7" xr3:uid="{29E0FE9E-ABCF-1242-98DF-C557202CE07B}" name="1KG Carton " dataDxfId="5">
      <calculatedColumnFormula>(C2+120)/308</calculatedColumnFormula>
    </tableColumn>
    <tableColumn id="8" xr3:uid="{94BF37AC-B1D9-4446-AF24-415BAFB055BB}" name="500g Carton " dataDxfId="4">
      <calculatedColumnFormula>(C2+140)/308</calculatedColumnFormula>
    </tableColumn>
    <tableColumn id="9" xr3:uid="{8C033CA8-9226-5D49-8B6C-0B6725DB353B}" name="250g Carton " dataDxfId="3">
      <calculatedColumnFormula>(C2+160)/308</calculatedColumnFormula>
    </tableColumn>
    <tableColumn id="10" xr3:uid="{845B8A7D-CE41-0146-9AED-002E5EF23228}" name="100g Carton " dataDxfId="2">
      <calculatedColumnFormula>(C2+180)/308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7EB4-3405-6E44-B128-384F58C141C7}">
  <dimension ref="A1:J54"/>
  <sheetViews>
    <sheetView tabSelected="1" workbookViewId="0">
      <selection activeCell="O15" sqref="O15"/>
    </sheetView>
  </sheetViews>
  <sheetFormatPr baseColWidth="10" defaultRowHeight="16" x14ac:dyDescent="0.2"/>
  <cols>
    <col min="1" max="1" width="22.6640625" customWidth="1"/>
    <col min="2" max="2" width="18.6640625" customWidth="1"/>
    <col min="3" max="3" width="15.6640625" hidden="1" customWidth="1"/>
    <col min="4" max="4" width="15.33203125" customWidth="1"/>
    <col min="5" max="5" width="15.5" customWidth="1"/>
    <col min="6" max="6" width="16.1640625" customWidth="1"/>
    <col min="7" max="7" width="17.83203125" customWidth="1"/>
    <col min="8" max="8" width="17.1640625" customWidth="1"/>
    <col min="9" max="9" width="18.33203125" customWidth="1"/>
    <col min="10" max="10" width="16.6640625" customWidth="1"/>
  </cols>
  <sheetData>
    <row r="1" spans="1:10" ht="20" x14ac:dyDescent="0.2">
      <c r="A1" s="6" t="s">
        <v>0</v>
      </c>
      <c r="B1" s="1" t="s">
        <v>26</v>
      </c>
      <c r="C1" s="1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</row>
    <row r="2" spans="1:10" x14ac:dyDescent="0.2">
      <c r="A2" s="7" t="s">
        <v>1</v>
      </c>
      <c r="B2" s="2" t="s">
        <v>27</v>
      </c>
      <c r="C2" s="2">
        <v>2500</v>
      </c>
      <c r="D2" s="4">
        <f>(C2+75)/308</f>
        <v>8.3603896103896105</v>
      </c>
      <c r="E2" s="4">
        <f>(C2+90)/308</f>
        <v>8.4090909090909083</v>
      </c>
      <c r="F2" s="5">
        <f>(C2+100)/308</f>
        <v>8.4415584415584419</v>
      </c>
      <c r="G2" s="4">
        <f>(C2+120)/308</f>
        <v>8.5064935064935057</v>
      </c>
      <c r="H2" s="4">
        <f>(C2+140)/308</f>
        <v>8.5714285714285712</v>
      </c>
      <c r="I2" s="4">
        <f>(C2+160)/308</f>
        <v>8.6363636363636367</v>
      </c>
      <c r="J2" s="4">
        <f>(C2+180)/308</f>
        <v>8.7012987012987004</v>
      </c>
    </row>
    <row r="3" spans="1:10" x14ac:dyDescent="0.2">
      <c r="A3" s="7" t="s">
        <v>1</v>
      </c>
      <c r="B3" s="2" t="s">
        <v>28</v>
      </c>
      <c r="C3" s="2">
        <v>1600</v>
      </c>
      <c r="D3" s="4">
        <f>(C3+75)/308</f>
        <v>5.4383116883116882</v>
      </c>
      <c r="E3" s="4">
        <f>(C3+90)/308</f>
        <v>5.4870129870129869</v>
      </c>
      <c r="F3" s="5">
        <f>(C3+100)/308</f>
        <v>5.5194805194805197</v>
      </c>
      <c r="G3" s="4">
        <f>(C3+120)/308</f>
        <v>5.5844155844155843</v>
      </c>
      <c r="H3" s="4">
        <f>(C3+140)/308</f>
        <v>5.6493506493506498</v>
      </c>
      <c r="I3" s="4">
        <f>(C3+160)/308</f>
        <v>5.7142857142857144</v>
      </c>
      <c r="J3" s="4">
        <f>(C3+180)/308</f>
        <v>5.779220779220779</v>
      </c>
    </row>
    <row r="4" spans="1:10" x14ac:dyDescent="0.2">
      <c r="A4" s="7" t="s">
        <v>1</v>
      </c>
      <c r="B4" s="2" t="s">
        <v>29</v>
      </c>
      <c r="C4" s="2">
        <v>1550</v>
      </c>
      <c r="D4" s="4">
        <f>(C4+75)/308</f>
        <v>5.2759740259740262</v>
      </c>
      <c r="E4" s="4">
        <f>(C4+90)/308</f>
        <v>5.3246753246753249</v>
      </c>
      <c r="F4" s="5">
        <f>(C4+100)/308</f>
        <v>5.3571428571428568</v>
      </c>
      <c r="G4" s="4">
        <f>(C4+120)/308</f>
        <v>5.4220779220779223</v>
      </c>
      <c r="H4" s="4">
        <f>(C4+140)/308</f>
        <v>5.4870129870129869</v>
      </c>
      <c r="I4" s="4">
        <f>(C4+160)/308</f>
        <v>5.5519480519480515</v>
      </c>
      <c r="J4" s="4">
        <f>(C4+180)/308</f>
        <v>5.616883116883117</v>
      </c>
    </row>
    <row r="5" spans="1:10" x14ac:dyDescent="0.2">
      <c r="A5" s="7" t="s">
        <v>1</v>
      </c>
      <c r="B5" s="2">
        <v>127</v>
      </c>
      <c r="C5" s="2">
        <v>1350</v>
      </c>
      <c r="D5" s="4">
        <f>(C5+75)/308</f>
        <v>4.6266233766233764</v>
      </c>
      <c r="E5" s="4">
        <f>(C5+90)/308</f>
        <v>4.6753246753246751</v>
      </c>
      <c r="F5" s="5">
        <f>(C5+100)/308</f>
        <v>4.7077922077922079</v>
      </c>
      <c r="G5" s="4">
        <f>(C5+120)/308</f>
        <v>4.7727272727272725</v>
      </c>
      <c r="H5" s="4">
        <f>(C5+140)/308</f>
        <v>4.837662337662338</v>
      </c>
      <c r="I5" s="4">
        <f>(C5+160)/308</f>
        <v>4.9025974025974026</v>
      </c>
      <c r="J5" s="4">
        <f>(C5+180)/308</f>
        <v>4.9675324675324672</v>
      </c>
    </row>
    <row r="6" spans="1:10" x14ac:dyDescent="0.2">
      <c r="A6" s="7" t="s">
        <v>1</v>
      </c>
      <c r="B6" s="2">
        <v>2500</v>
      </c>
      <c r="C6" s="2">
        <v>1100</v>
      </c>
      <c r="D6" s="4">
        <f>(C6+75)/308</f>
        <v>3.8149350649350651</v>
      </c>
      <c r="E6" s="4">
        <f>(C6+90)/308</f>
        <v>3.8636363636363638</v>
      </c>
      <c r="F6" s="5">
        <f>(C6+100)/308</f>
        <v>3.8961038961038961</v>
      </c>
      <c r="G6" s="4">
        <f>(C6+120)/308</f>
        <v>3.9610389610389611</v>
      </c>
      <c r="H6" s="4">
        <f>(C6+140)/308</f>
        <v>4.0259740259740262</v>
      </c>
      <c r="I6" s="4">
        <f>(C6+160)/308</f>
        <v>4.0909090909090908</v>
      </c>
      <c r="J6" s="4">
        <f>(C6+180)/308</f>
        <v>4.1558441558441555</v>
      </c>
    </row>
    <row r="7" spans="1:10" x14ac:dyDescent="0.2">
      <c r="A7" s="7" t="s">
        <v>1</v>
      </c>
      <c r="B7" s="2">
        <v>25</v>
      </c>
      <c r="C7" s="2">
        <v>880</v>
      </c>
      <c r="D7" s="4">
        <f>(C7+75)/308</f>
        <v>3.1006493506493507</v>
      </c>
      <c r="E7" s="4">
        <f>(C7+90)/308</f>
        <v>3.1493506493506493</v>
      </c>
      <c r="F7" s="5">
        <f>(C7+100)/308</f>
        <v>3.1818181818181817</v>
      </c>
      <c r="G7" s="4">
        <f>(C7+120)/308</f>
        <v>3.2467532467532467</v>
      </c>
      <c r="H7" s="4">
        <f>(C7+140)/308</f>
        <v>3.3116883116883118</v>
      </c>
      <c r="I7" s="4">
        <f>(C7+160)/308</f>
        <v>3.3766233766233764</v>
      </c>
      <c r="J7" s="4">
        <f>(C7+180)/308</f>
        <v>3.4415584415584415</v>
      </c>
    </row>
    <row r="8" spans="1:10" x14ac:dyDescent="0.2">
      <c r="A8" s="7" t="s">
        <v>2</v>
      </c>
      <c r="B8" s="2" t="s">
        <v>28</v>
      </c>
      <c r="C8" s="2">
        <v>1600</v>
      </c>
      <c r="D8" s="4">
        <f>(C8+75)/308</f>
        <v>5.4383116883116882</v>
      </c>
      <c r="E8" s="4">
        <f>(C8+90)/308</f>
        <v>5.4870129870129869</v>
      </c>
      <c r="F8" s="5">
        <f>(C8+100)/308</f>
        <v>5.5194805194805197</v>
      </c>
      <c r="G8" s="4">
        <f>(C8+120)/308</f>
        <v>5.5844155844155843</v>
      </c>
      <c r="H8" s="4">
        <f>(C8+140)/308</f>
        <v>5.6493506493506498</v>
      </c>
      <c r="I8" s="4">
        <f>(C8+160)/308</f>
        <v>5.7142857142857144</v>
      </c>
      <c r="J8" s="4">
        <f>(C8+180)/308</f>
        <v>5.779220779220779</v>
      </c>
    </row>
    <row r="9" spans="1:10" x14ac:dyDescent="0.2">
      <c r="A9" s="7" t="s">
        <v>2</v>
      </c>
      <c r="B9" s="2">
        <v>11</v>
      </c>
      <c r="C9" s="2">
        <v>1380</v>
      </c>
      <c r="D9" s="4">
        <f>(C9+75)/308</f>
        <v>4.7240259740259738</v>
      </c>
      <c r="E9" s="4">
        <f>(C9+90)/308</f>
        <v>4.7727272727272725</v>
      </c>
      <c r="F9" s="5">
        <f>(C9+100)/308</f>
        <v>4.8051948051948052</v>
      </c>
      <c r="G9" s="4">
        <f>(C9+120)/308</f>
        <v>4.8701298701298699</v>
      </c>
      <c r="H9" s="4">
        <f>(C9+140)/308</f>
        <v>4.9350649350649354</v>
      </c>
      <c r="I9" s="4">
        <f>(C9+160)/308</f>
        <v>5</v>
      </c>
      <c r="J9" s="4">
        <f>(C9+180)/308</f>
        <v>5.0649350649350646</v>
      </c>
    </row>
    <row r="10" spans="1:10" x14ac:dyDescent="0.2">
      <c r="A10" s="7" t="s">
        <v>2</v>
      </c>
      <c r="B10" s="2" t="s">
        <v>30</v>
      </c>
      <c r="C10" s="2">
        <v>960</v>
      </c>
      <c r="D10" s="4">
        <f>(C10+75)/308</f>
        <v>3.3603896103896105</v>
      </c>
      <c r="E10" s="4">
        <f>(C10+90)/308</f>
        <v>3.4090909090909092</v>
      </c>
      <c r="F10" s="5">
        <f>(C10+100)/308</f>
        <v>3.4415584415584415</v>
      </c>
      <c r="G10" s="4">
        <f>(C10+120)/308</f>
        <v>3.5064935064935066</v>
      </c>
      <c r="H10" s="4">
        <f>(C10+140)/308</f>
        <v>3.5714285714285716</v>
      </c>
      <c r="I10" s="4">
        <f>(C10+160)/308</f>
        <v>3.6363636363636362</v>
      </c>
      <c r="J10" s="4">
        <f>(C10+180)/308</f>
        <v>3.7012987012987013</v>
      </c>
    </row>
    <row r="11" spans="1:10" x14ac:dyDescent="0.2">
      <c r="A11" s="7" t="s">
        <v>2</v>
      </c>
      <c r="B11" s="2" t="s">
        <v>31</v>
      </c>
      <c r="C11" s="2">
        <v>850</v>
      </c>
      <c r="D11" s="4">
        <f>(C11+75)/308</f>
        <v>3.0032467532467533</v>
      </c>
      <c r="E11" s="4">
        <f>(C11+90)/308</f>
        <v>3.051948051948052</v>
      </c>
      <c r="F11" s="5">
        <f>(C11+100)/308</f>
        <v>3.0844155844155843</v>
      </c>
      <c r="G11" s="4">
        <f>(C11+120)/308</f>
        <v>3.1493506493506493</v>
      </c>
      <c r="H11" s="4">
        <f>(C11+140)/308</f>
        <v>3.2142857142857144</v>
      </c>
      <c r="I11" s="4">
        <f>(C11+160)/308</f>
        <v>3.279220779220779</v>
      </c>
      <c r="J11" s="4">
        <f>(C11+180)/308</f>
        <v>3.3441558441558441</v>
      </c>
    </row>
    <row r="12" spans="1:10" x14ac:dyDescent="0.2">
      <c r="A12" s="7" t="s">
        <v>3</v>
      </c>
      <c r="B12" s="2">
        <v>22</v>
      </c>
      <c r="C12" s="2">
        <v>1500</v>
      </c>
      <c r="D12" s="4">
        <f>(C12+75)/308</f>
        <v>5.1136363636363633</v>
      </c>
      <c r="E12" s="4">
        <f>(C12+90)/308</f>
        <v>5.162337662337662</v>
      </c>
      <c r="F12" s="5">
        <f>(C12+100)/308</f>
        <v>5.1948051948051948</v>
      </c>
      <c r="G12" s="4">
        <f>(C12+120)/308</f>
        <v>5.2597402597402594</v>
      </c>
      <c r="H12" s="4">
        <f>(C12+140)/308</f>
        <v>5.3246753246753249</v>
      </c>
      <c r="I12" s="4">
        <f>(C12+160)/308</f>
        <v>5.3896103896103895</v>
      </c>
      <c r="J12" s="4">
        <f>(C12+180)/308</f>
        <v>5.4545454545454541</v>
      </c>
    </row>
    <row r="13" spans="1:10" x14ac:dyDescent="0.2">
      <c r="A13" s="7" t="s">
        <v>3</v>
      </c>
      <c r="B13" s="2">
        <v>16</v>
      </c>
      <c r="C13" s="2">
        <v>1150</v>
      </c>
      <c r="D13" s="4">
        <f>(C13+75)/308</f>
        <v>3.9772727272727271</v>
      </c>
      <c r="E13" s="4">
        <f>(C13+90)/308</f>
        <v>4.0259740259740262</v>
      </c>
      <c r="F13" s="5">
        <f>(C13+100)/308</f>
        <v>4.0584415584415581</v>
      </c>
      <c r="G13" s="4">
        <f>(C13+120)/308</f>
        <v>4.1233766233766236</v>
      </c>
      <c r="H13" s="4">
        <f>(C13+140)/308</f>
        <v>4.1883116883116882</v>
      </c>
      <c r="I13" s="4">
        <f>(C13+160)/308</f>
        <v>4.2532467532467528</v>
      </c>
      <c r="J13" s="4">
        <f>(C13+180)/308</f>
        <v>4.3181818181818183</v>
      </c>
    </row>
    <row r="14" spans="1:10" x14ac:dyDescent="0.2">
      <c r="A14" s="7" t="s">
        <v>3</v>
      </c>
      <c r="B14" s="2" t="s">
        <v>32</v>
      </c>
      <c r="C14" s="2">
        <v>1050</v>
      </c>
      <c r="D14" s="4">
        <f>(C14+75)/308</f>
        <v>3.6525974025974026</v>
      </c>
      <c r="E14" s="4">
        <f>(C14+90)/308</f>
        <v>3.7012987012987013</v>
      </c>
      <c r="F14" s="5">
        <f>(C14+100)/308</f>
        <v>3.7337662337662336</v>
      </c>
      <c r="G14" s="4">
        <f>(C14+120)/308</f>
        <v>3.7987012987012987</v>
      </c>
      <c r="H14" s="4">
        <f>(C14+140)/308</f>
        <v>3.8636363636363638</v>
      </c>
      <c r="I14" s="4">
        <f>(C14+160)/308</f>
        <v>3.9285714285714284</v>
      </c>
      <c r="J14" s="4">
        <f>(C14+180)/308</f>
        <v>3.9935064935064934</v>
      </c>
    </row>
    <row r="15" spans="1:10" x14ac:dyDescent="0.2">
      <c r="A15" s="7" t="s">
        <v>4</v>
      </c>
      <c r="B15" s="2" t="s">
        <v>33</v>
      </c>
      <c r="C15" s="2">
        <v>2400</v>
      </c>
      <c r="D15" s="4">
        <f>(C15+75)/308</f>
        <v>8.0357142857142865</v>
      </c>
      <c r="E15" s="4">
        <f>(C15+90)/308</f>
        <v>8.0844155844155843</v>
      </c>
      <c r="F15" s="5">
        <f>(C15+100)/308</f>
        <v>8.1168831168831161</v>
      </c>
      <c r="G15" s="4">
        <f>(C15+120)/308</f>
        <v>8.1818181818181817</v>
      </c>
      <c r="H15" s="4">
        <f>(C15+140)/308</f>
        <v>8.2467532467532472</v>
      </c>
      <c r="I15" s="4">
        <f>(C15+160)/308</f>
        <v>8.3116883116883109</v>
      </c>
      <c r="J15" s="4">
        <f>(C15+180)/308</f>
        <v>8.3766233766233764</v>
      </c>
    </row>
    <row r="16" spans="1:10" x14ac:dyDescent="0.2">
      <c r="A16" s="7" t="s">
        <v>4</v>
      </c>
      <c r="B16" s="2">
        <v>41</v>
      </c>
      <c r="C16" s="2">
        <v>1800</v>
      </c>
      <c r="D16" s="4">
        <f>(C16+75)/308</f>
        <v>6.087662337662338</v>
      </c>
      <c r="E16" s="4">
        <f>(C16+90)/308</f>
        <v>6.1363636363636367</v>
      </c>
      <c r="F16" s="5">
        <f>(C16+100)/308</f>
        <v>6.1688311688311686</v>
      </c>
      <c r="G16" s="4">
        <f>(C16+120)/308</f>
        <v>6.2337662337662341</v>
      </c>
      <c r="H16" s="4">
        <f>(C16+140)/308</f>
        <v>6.2987012987012987</v>
      </c>
      <c r="I16" s="4">
        <f>(C16+160)/308</f>
        <v>6.3636363636363633</v>
      </c>
      <c r="J16" s="4">
        <f>(C16+180)/308</f>
        <v>6.4285714285714288</v>
      </c>
    </row>
    <row r="17" spans="1:10" x14ac:dyDescent="0.2">
      <c r="A17" s="7" t="s">
        <v>4</v>
      </c>
      <c r="B17" s="2" t="s">
        <v>34</v>
      </c>
      <c r="C17" s="2">
        <v>1750</v>
      </c>
      <c r="D17" s="4">
        <f>(C17+75)/308</f>
        <v>5.9253246753246751</v>
      </c>
      <c r="E17" s="4">
        <f>(C17+90)/308</f>
        <v>5.9740259740259738</v>
      </c>
      <c r="F17" s="5">
        <f>(C17+100)/308</f>
        <v>6.0064935064935066</v>
      </c>
      <c r="G17" s="4">
        <f>(C17+120)/308</f>
        <v>6.0714285714285712</v>
      </c>
      <c r="H17" s="4">
        <f>(C17+140)/308</f>
        <v>6.1363636363636367</v>
      </c>
      <c r="I17" s="4">
        <f>(C17+160)/308</f>
        <v>6.2012987012987013</v>
      </c>
      <c r="J17" s="4">
        <f>(C17+180)/308</f>
        <v>6.2662337662337659</v>
      </c>
    </row>
    <row r="18" spans="1:10" x14ac:dyDescent="0.2">
      <c r="A18" s="7" t="s">
        <v>4</v>
      </c>
      <c r="B18" s="2">
        <v>42</v>
      </c>
      <c r="C18" s="2">
        <v>1500</v>
      </c>
      <c r="D18" s="4">
        <f>(C18+75)/308</f>
        <v>5.1136363636363633</v>
      </c>
      <c r="E18" s="4">
        <f>(C18+90)/308</f>
        <v>5.162337662337662</v>
      </c>
      <c r="F18" s="5">
        <f>(C18+100)/308</f>
        <v>5.1948051948051948</v>
      </c>
      <c r="G18" s="4">
        <f>(C18+120)/308</f>
        <v>5.2597402597402594</v>
      </c>
      <c r="H18" s="4">
        <f>(C18+140)/308</f>
        <v>5.3246753246753249</v>
      </c>
      <c r="I18" s="4">
        <f>(C18+160)/308</f>
        <v>5.3896103896103895</v>
      </c>
      <c r="J18" s="4">
        <f>(C18+180)/308</f>
        <v>5.4545454545454541</v>
      </c>
    </row>
    <row r="19" spans="1:10" x14ac:dyDescent="0.2">
      <c r="A19" s="7" t="s">
        <v>5</v>
      </c>
      <c r="B19" s="2">
        <v>5200</v>
      </c>
      <c r="C19" s="2">
        <v>2000</v>
      </c>
      <c r="D19" s="4">
        <f>(C19+75)/308</f>
        <v>6.7370129870129869</v>
      </c>
      <c r="E19" s="4">
        <f>(C19+90)/308</f>
        <v>6.7857142857142856</v>
      </c>
      <c r="F19" s="5">
        <f>(C19+100)/308</f>
        <v>6.8181818181818183</v>
      </c>
      <c r="G19" s="4">
        <f>(C19+120)/308</f>
        <v>6.883116883116883</v>
      </c>
      <c r="H19" s="4">
        <f>(C19+140)/308</f>
        <v>6.9480519480519485</v>
      </c>
      <c r="I19" s="4">
        <f>(C19+160)/308</f>
        <v>7.0129870129870131</v>
      </c>
      <c r="J19" s="4">
        <f>(C19+180)/308</f>
        <v>7.0779220779220777</v>
      </c>
    </row>
    <row r="20" spans="1:10" x14ac:dyDescent="0.2">
      <c r="A20" s="7" t="s">
        <v>5</v>
      </c>
      <c r="B20" s="2">
        <v>104</v>
      </c>
      <c r="C20" s="2">
        <v>1200</v>
      </c>
      <c r="D20" s="4">
        <f>(C20+75)/308</f>
        <v>4.1396103896103895</v>
      </c>
      <c r="E20" s="4">
        <f>(C20+90)/308</f>
        <v>4.1883116883116882</v>
      </c>
      <c r="F20" s="5">
        <f>(C20+100)/308</f>
        <v>4.220779220779221</v>
      </c>
      <c r="G20" s="4">
        <f>(C20+120)/308</f>
        <v>4.2857142857142856</v>
      </c>
      <c r="H20" s="4">
        <f>(C20+140)/308</f>
        <v>4.3506493506493502</v>
      </c>
      <c r="I20" s="4">
        <f>(C20+160)/308</f>
        <v>4.4155844155844157</v>
      </c>
      <c r="J20" s="4">
        <f>(C20+180)/308</f>
        <v>4.4805194805194803</v>
      </c>
    </row>
    <row r="21" spans="1:10" x14ac:dyDescent="0.2">
      <c r="A21" s="7" t="s">
        <v>6</v>
      </c>
      <c r="B21" s="2">
        <v>52</v>
      </c>
      <c r="C21" s="2">
        <v>1750</v>
      </c>
      <c r="D21" s="4">
        <f>(C21+75)/308</f>
        <v>5.9253246753246751</v>
      </c>
      <c r="E21" s="4">
        <f>(C21+90)/308</f>
        <v>5.9740259740259738</v>
      </c>
      <c r="F21" s="5">
        <f>(C21+100)/308</f>
        <v>6.0064935064935066</v>
      </c>
      <c r="G21" s="4">
        <f>(C21+120)/308</f>
        <v>6.0714285714285712</v>
      </c>
      <c r="H21" s="4">
        <f>(C21+140)/308</f>
        <v>6.1363636363636367</v>
      </c>
      <c r="I21" s="4">
        <f>(C21+160)/308</f>
        <v>6.2012987012987013</v>
      </c>
      <c r="J21" s="4">
        <f>(C21+180)/308</f>
        <v>6.2662337662337659</v>
      </c>
    </row>
    <row r="22" spans="1:10" x14ac:dyDescent="0.2">
      <c r="A22" s="7" t="s">
        <v>6</v>
      </c>
      <c r="B22" s="2">
        <v>50</v>
      </c>
      <c r="C22" s="2">
        <v>1550</v>
      </c>
      <c r="D22" s="4">
        <f>(C22+75)/308</f>
        <v>5.2759740259740262</v>
      </c>
      <c r="E22" s="4">
        <f>(C22+90)/308</f>
        <v>5.3246753246753249</v>
      </c>
      <c r="F22" s="5">
        <f>(C22+100)/308</f>
        <v>5.3571428571428568</v>
      </c>
      <c r="G22" s="4">
        <f>(C22+120)/308</f>
        <v>5.4220779220779223</v>
      </c>
      <c r="H22" s="4">
        <f>(C22+140)/308</f>
        <v>5.4870129870129869</v>
      </c>
      <c r="I22" s="4">
        <f>(C22+160)/308</f>
        <v>5.5519480519480515</v>
      </c>
      <c r="J22" s="4">
        <f>(C22+180)/308</f>
        <v>5.616883116883117</v>
      </c>
    </row>
    <row r="23" spans="1:10" x14ac:dyDescent="0.2">
      <c r="A23" s="7" t="s">
        <v>7</v>
      </c>
      <c r="B23" s="2" t="s">
        <v>28</v>
      </c>
      <c r="C23" s="2">
        <v>1750</v>
      </c>
      <c r="D23" s="4">
        <f>(C23+75)/308</f>
        <v>5.9253246753246751</v>
      </c>
      <c r="E23" s="4">
        <f>(C23+90)/308</f>
        <v>5.9740259740259738</v>
      </c>
      <c r="F23" s="5">
        <f>(C23+100)/308</f>
        <v>6.0064935064935066</v>
      </c>
      <c r="G23" s="4">
        <f>(C23+120)/308</f>
        <v>6.0714285714285712</v>
      </c>
      <c r="H23" s="4">
        <f>(C23+140)/308</f>
        <v>6.1363636363636367</v>
      </c>
      <c r="I23" s="4">
        <f>(C23+160)/308</f>
        <v>6.2012987012987013</v>
      </c>
      <c r="J23" s="4">
        <f>(C23+180)/308</f>
        <v>6.2662337662337659</v>
      </c>
    </row>
    <row r="24" spans="1:10" x14ac:dyDescent="0.2">
      <c r="A24" s="7" t="s">
        <v>7</v>
      </c>
      <c r="B24" s="2" t="s">
        <v>35</v>
      </c>
      <c r="C24" s="2">
        <v>1600</v>
      </c>
      <c r="D24" s="4">
        <f>(C24+75)/308</f>
        <v>5.4383116883116882</v>
      </c>
      <c r="E24" s="4">
        <f>(C24+90)/308</f>
        <v>5.4870129870129869</v>
      </c>
      <c r="F24" s="5">
        <f>(C24+100)/308</f>
        <v>5.5194805194805197</v>
      </c>
      <c r="G24" s="4">
        <f>(C24+120)/308</f>
        <v>5.5844155844155843</v>
      </c>
      <c r="H24" s="4">
        <f>(C24+140)/308</f>
        <v>5.6493506493506498</v>
      </c>
      <c r="I24" s="4">
        <f>(C24+160)/308</f>
        <v>5.7142857142857144</v>
      </c>
      <c r="J24" s="4">
        <f>(C24+180)/308</f>
        <v>5.779220779220779</v>
      </c>
    </row>
    <row r="25" spans="1:10" x14ac:dyDescent="0.2">
      <c r="A25" s="7" t="s">
        <v>7</v>
      </c>
      <c r="B25" s="2" t="s">
        <v>36</v>
      </c>
      <c r="C25" s="2">
        <v>1470</v>
      </c>
      <c r="D25" s="4">
        <f>(C25+75)/308</f>
        <v>5.0162337662337659</v>
      </c>
      <c r="E25" s="4">
        <f>(C25+90)/308</f>
        <v>5.0649350649350646</v>
      </c>
      <c r="F25" s="5">
        <f>(C25+100)/308</f>
        <v>5.0974025974025974</v>
      </c>
      <c r="G25" s="4">
        <f>(C25+120)/308</f>
        <v>5.162337662337662</v>
      </c>
      <c r="H25" s="4">
        <f>(C25+140)/308</f>
        <v>5.2272727272727275</v>
      </c>
      <c r="I25" s="4">
        <f>(C25+160)/308</f>
        <v>5.2922077922077921</v>
      </c>
      <c r="J25" s="4">
        <f>(C25+180)/308</f>
        <v>5.3571428571428568</v>
      </c>
    </row>
    <row r="26" spans="1:10" x14ac:dyDescent="0.2">
      <c r="A26" s="7" t="s">
        <v>7</v>
      </c>
      <c r="B26" s="2" t="s">
        <v>37</v>
      </c>
      <c r="C26" s="2">
        <v>1430</v>
      </c>
      <c r="D26" s="4">
        <f>(C26+75)/308</f>
        <v>4.8863636363636367</v>
      </c>
      <c r="E26" s="4">
        <f>(C26+90)/308</f>
        <v>4.9350649350649354</v>
      </c>
      <c r="F26" s="5">
        <f>(C26+100)/308</f>
        <v>4.9675324675324672</v>
      </c>
      <c r="G26" s="4">
        <f>(C26+120)/308</f>
        <v>5.0324675324675328</v>
      </c>
      <c r="H26" s="4">
        <f>(C26+140)/308</f>
        <v>5.0974025974025974</v>
      </c>
      <c r="I26" s="4">
        <f>(C26+160)/308</f>
        <v>5.162337662337662</v>
      </c>
      <c r="J26" s="4">
        <f>(C26+180)/308</f>
        <v>5.2272727272727275</v>
      </c>
    </row>
    <row r="27" spans="1:10" x14ac:dyDescent="0.2">
      <c r="A27" s="7" t="s">
        <v>8</v>
      </c>
      <c r="B27" s="2">
        <v>12</v>
      </c>
      <c r="C27" s="2">
        <v>1200</v>
      </c>
      <c r="D27" s="4">
        <f>(C27+75)/308</f>
        <v>4.1396103896103895</v>
      </c>
      <c r="E27" s="4">
        <f>(C27+90)/308</f>
        <v>4.1883116883116882</v>
      </c>
      <c r="F27" s="5">
        <f>(C27+100)/308</f>
        <v>4.220779220779221</v>
      </c>
      <c r="G27" s="4">
        <f>(C27+120)/308</f>
        <v>4.2857142857142856</v>
      </c>
      <c r="H27" s="4">
        <f>(C27+140)/308</f>
        <v>4.3506493506493502</v>
      </c>
      <c r="I27" s="4">
        <f>(C27+160)/308</f>
        <v>4.4155844155844157</v>
      </c>
      <c r="J27" s="4">
        <f>(C27+180)/308</f>
        <v>4.4805194805194803</v>
      </c>
    </row>
    <row r="28" spans="1:10" x14ac:dyDescent="0.2">
      <c r="A28" s="7" t="s">
        <v>9</v>
      </c>
      <c r="B28" s="2" t="s">
        <v>38</v>
      </c>
      <c r="C28" s="2">
        <v>1000</v>
      </c>
      <c r="D28" s="4">
        <f>(C28+75)/308</f>
        <v>3.4902597402597402</v>
      </c>
      <c r="E28" s="4">
        <f>(C28+90)/308</f>
        <v>3.5389610389610389</v>
      </c>
      <c r="F28" s="5">
        <f>(C28+100)/308</f>
        <v>3.5714285714285716</v>
      </c>
      <c r="G28" s="4">
        <f>(C28+120)/308</f>
        <v>3.6363636363636362</v>
      </c>
      <c r="H28" s="4">
        <f>(C28+140)/308</f>
        <v>3.7012987012987013</v>
      </c>
      <c r="I28" s="4">
        <f>(C28+160)/308</f>
        <v>3.7662337662337664</v>
      </c>
      <c r="J28" s="4">
        <f>(C28+180)/308</f>
        <v>3.831168831168831</v>
      </c>
    </row>
    <row r="29" spans="1:10" x14ac:dyDescent="0.2">
      <c r="A29" s="7" t="s">
        <v>10</v>
      </c>
      <c r="B29" s="2">
        <v>87</v>
      </c>
      <c r="C29" s="2">
        <v>1300</v>
      </c>
      <c r="D29" s="4">
        <f>(C29+75)/308</f>
        <v>4.4642857142857144</v>
      </c>
      <c r="E29" s="4">
        <f>(C29+90)/308</f>
        <v>4.5129870129870131</v>
      </c>
      <c r="F29" s="5">
        <f>(C29+100)/308</f>
        <v>4.5454545454545459</v>
      </c>
      <c r="G29" s="4">
        <f>(C29+120)/308</f>
        <v>4.6103896103896105</v>
      </c>
      <c r="H29" s="4">
        <f>(C29+140)/308</f>
        <v>4.6753246753246751</v>
      </c>
      <c r="I29" s="4">
        <f>(C29+160)/308</f>
        <v>4.7402597402597406</v>
      </c>
      <c r="J29" s="4">
        <f>(C29+180)/308</f>
        <v>4.8051948051948052</v>
      </c>
    </row>
    <row r="30" spans="1:10" x14ac:dyDescent="0.2">
      <c r="A30" s="7" t="s">
        <v>11</v>
      </c>
      <c r="B30" s="2">
        <v>5727</v>
      </c>
      <c r="C30" s="2">
        <v>720</v>
      </c>
      <c r="D30" s="4">
        <f>(C30+75)/308</f>
        <v>2.581168831168831</v>
      </c>
      <c r="E30" s="4">
        <f>(C30+90)/308</f>
        <v>2.6298701298701297</v>
      </c>
      <c r="F30" s="5">
        <f>(C30+100)/308</f>
        <v>2.6623376623376624</v>
      </c>
      <c r="G30" s="4">
        <f>(C30+120)/308</f>
        <v>2.7272727272727271</v>
      </c>
      <c r="H30" s="4">
        <f>(C30+140)/308</f>
        <v>2.7922077922077921</v>
      </c>
      <c r="I30" s="4">
        <f>(C30+160)/308</f>
        <v>2.8571428571428572</v>
      </c>
      <c r="J30" s="4">
        <f>(C30+180)/308</f>
        <v>2.9220779220779223</v>
      </c>
    </row>
    <row r="31" spans="1:10" x14ac:dyDescent="0.2">
      <c r="A31" s="7" t="s">
        <v>12</v>
      </c>
      <c r="B31" s="2" t="s">
        <v>39</v>
      </c>
      <c r="C31" s="2">
        <v>750</v>
      </c>
      <c r="D31" s="4">
        <f>(C31+75)/308</f>
        <v>2.6785714285714284</v>
      </c>
      <c r="E31" s="4">
        <f>(C31+90)/308</f>
        <v>2.7272727272727271</v>
      </c>
      <c r="F31" s="5">
        <f>(C31+100)/308</f>
        <v>2.7597402597402598</v>
      </c>
      <c r="G31" s="4">
        <f>(C31+120)/308</f>
        <v>2.8246753246753249</v>
      </c>
      <c r="H31" s="4">
        <f>(C31+140)/308</f>
        <v>2.8896103896103895</v>
      </c>
      <c r="I31" s="4">
        <f>(C31+160)/308</f>
        <v>2.9545454545454546</v>
      </c>
      <c r="J31" s="4">
        <f>(C31+180)/308</f>
        <v>3.0194805194805197</v>
      </c>
    </row>
    <row r="32" spans="1:10" x14ac:dyDescent="0.2">
      <c r="A32" s="7" t="s">
        <v>13</v>
      </c>
      <c r="B32" s="2">
        <v>4727</v>
      </c>
      <c r="C32" s="2">
        <v>730</v>
      </c>
      <c r="D32" s="4">
        <f>(C32+75)/308</f>
        <v>2.6136363636363638</v>
      </c>
      <c r="E32" s="4">
        <f>(C32+90)/308</f>
        <v>2.6623376623376624</v>
      </c>
      <c r="F32" s="5">
        <f>(C32+100)/308</f>
        <v>2.6948051948051948</v>
      </c>
      <c r="G32" s="4">
        <f>(C32+120)/308</f>
        <v>2.7597402597402598</v>
      </c>
      <c r="H32" s="4">
        <f>(C32+140)/308</f>
        <v>2.8246753246753249</v>
      </c>
      <c r="I32" s="4">
        <f>(C32+160)/308</f>
        <v>2.8896103896103895</v>
      </c>
      <c r="J32" s="4">
        <f>(C32+180)/308</f>
        <v>2.9545454545454546</v>
      </c>
    </row>
    <row r="33" spans="1:10" x14ac:dyDescent="0.2">
      <c r="A33" s="7" t="s">
        <v>14</v>
      </c>
      <c r="B33" s="2" t="s">
        <v>40</v>
      </c>
      <c r="C33" s="2">
        <v>750</v>
      </c>
      <c r="D33" s="4">
        <f>(C33+75)/308</f>
        <v>2.6785714285714284</v>
      </c>
      <c r="E33" s="4">
        <f>(C33+90)/308</f>
        <v>2.7272727272727271</v>
      </c>
      <c r="F33" s="5">
        <f>(C33+100)/308</f>
        <v>2.7597402597402598</v>
      </c>
      <c r="G33" s="4">
        <f>(C33+120)/308</f>
        <v>2.8246753246753249</v>
      </c>
      <c r="H33" s="4">
        <f>(C33+140)/308</f>
        <v>2.8896103896103895</v>
      </c>
      <c r="I33" s="4">
        <f>(C33+160)/308</f>
        <v>2.9545454545454546</v>
      </c>
      <c r="J33" s="4">
        <f>(C33+180)/308</f>
        <v>3.0194805194805197</v>
      </c>
    </row>
    <row r="34" spans="1:10" x14ac:dyDescent="0.2">
      <c r="A34" s="7" t="s">
        <v>15</v>
      </c>
      <c r="B34" s="2">
        <v>820</v>
      </c>
      <c r="C34" s="2">
        <v>950</v>
      </c>
      <c r="D34" s="4">
        <f>(C34+75)/308</f>
        <v>3.3279220779220777</v>
      </c>
      <c r="E34" s="4">
        <f>(C34+90)/308</f>
        <v>3.3766233766233764</v>
      </c>
      <c r="F34" s="5">
        <f>(C34+100)/308</f>
        <v>3.4090909090909092</v>
      </c>
      <c r="G34" s="4">
        <f>(C34+120)/308</f>
        <v>3.4740259740259742</v>
      </c>
      <c r="H34" s="4">
        <f>(C34+140)/308</f>
        <v>3.5389610389610389</v>
      </c>
      <c r="I34" s="4">
        <f>(C34+160)/308</f>
        <v>3.6038961038961039</v>
      </c>
      <c r="J34" s="4">
        <f>(C34+180)/308</f>
        <v>3.668831168831169</v>
      </c>
    </row>
    <row r="35" spans="1:10" x14ac:dyDescent="0.2">
      <c r="A35" s="7" t="s">
        <v>15</v>
      </c>
      <c r="B35" s="2">
        <v>47</v>
      </c>
      <c r="C35" s="2">
        <v>850</v>
      </c>
      <c r="D35" s="4">
        <f>(C35+75)/308</f>
        <v>3.0032467532467533</v>
      </c>
      <c r="E35" s="4">
        <f>(C35+90)/308</f>
        <v>3.051948051948052</v>
      </c>
      <c r="F35" s="5">
        <f>(C35+100)/308</f>
        <v>3.0844155844155843</v>
      </c>
      <c r="G35" s="4">
        <f>(C35+120)/308</f>
        <v>3.1493506493506493</v>
      </c>
      <c r="H35" s="4">
        <f>(C35+140)/308</f>
        <v>3.2142857142857144</v>
      </c>
      <c r="I35" s="4">
        <f>(C35+160)/308</f>
        <v>3.279220779220779</v>
      </c>
      <c r="J35" s="4">
        <f>(C35+180)/308</f>
        <v>3.3441558441558441</v>
      </c>
    </row>
    <row r="36" spans="1:10" x14ac:dyDescent="0.2">
      <c r="A36" s="7" t="s">
        <v>16</v>
      </c>
      <c r="B36" s="2">
        <v>3300</v>
      </c>
      <c r="C36" s="2">
        <v>900</v>
      </c>
      <c r="D36" s="4">
        <f>(C36+75)/308</f>
        <v>3.1655844155844157</v>
      </c>
      <c r="E36" s="4">
        <f>(C36+90)/308</f>
        <v>3.2142857142857144</v>
      </c>
      <c r="F36" s="5">
        <f>(C36+100)/308</f>
        <v>3.2467532467532467</v>
      </c>
      <c r="G36" s="4">
        <f>(C36+120)/308</f>
        <v>3.3116883116883118</v>
      </c>
      <c r="H36" s="4">
        <f>(C36+140)/308</f>
        <v>3.3766233766233764</v>
      </c>
      <c r="I36" s="4">
        <f>(C36+160)/308</f>
        <v>3.4415584415584415</v>
      </c>
      <c r="J36" s="4">
        <f>(C36+180)/308</f>
        <v>3.5064935064935066</v>
      </c>
    </row>
    <row r="37" spans="1:10" x14ac:dyDescent="0.2">
      <c r="A37" s="7" t="s">
        <v>16</v>
      </c>
      <c r="B37" s="2">
        <v>227</v>
      </c>
      <c r="C37" s="2">
        <v>1280</v>
      </c>
      <c r="D37" s="4">
        <f>(C37+75)/308</f>
        <v>4.3993506493506498</v>
      </c>
      <c r="E37" s="4">
        <f>(C37+90)/308</f>
        <v>4.4480519480519485</v>
      </c>
      <c r="F37" s="5">
        <f>(C37+100)/308</f>
        <v>4.4805194805194803</v>
      </c>
      <c r="G37" s="4">
        <f>(C37+120)/308</f>
        <v>4.5454545454545459</v>
      </c>
      <c r="H37" s="4">
        <f>(C37+140)/308</f>
        <v>4.6103896103896105</v>
      </c>
      <c r="I37" s="4">
        <f>(C37+160)/308</f>
        <v>4.6753246753246751</v>
      </c>
      <c r="J37" s="4">
        <f>(C37+180)/308</f>
        <v>4.7402597402597406</v>
      </c>
    </row>
    <row r="38" spans="1:10" x14ac:dyDescent="0.2">
      <c r="A38" s="7" t="s">
        <v>17</v>
      </c>
      <c r="B38" s="2">
        <v>271</v>
      </c>
      <c r="C38" s="2">
        <v>1250</v>
      </c>
      <c r="D38" s="4">
        <f>(C38+75)/308</f>
        <v>4.3019480519480515</v>
      </c>
      <c r="E38" s="4">
        <f>(C38+90)/308</f>
        <v>4.3506493506493502</v>
      </c>
      <c r="F38" s="5">
        <f>(C38+100)/308</f>
        <v>4.383116883116883</v>
      </c>
      <c r="G38" s="4">
        <f>(C38+120)/308</f>
        <v>4.4480519480519485</v>
      </c>
      <c r="H38" s="4">
        <f>(C38+140)/308</f>
        <v>4.5129870129870131</v>
      </c>
      <c r="I38" s="4">
        <f>(C38+160)/308</f>
        <v>4.5779220779220777</v>
      </c>
      <c r="J38" s="4">
        <f>(C38+180)/308</f>
        <v>4.6428571428571432</v>
      </c>
    </row>
    <row r="39" spans="1:10" x14ac:dyDescent="0.2">
      <c r="A39" s="7" t="s">
        <v>18</v>
      </c>
      <c r="B39" s="2" t="s">
        <v>41</v>
      </c>
      <c r="C39" s="2">
        <v>1300</v>
      </c>
      <c r="D39" s="4">
        <f>(C39+75)/308</f>
        <v>4.4642857142857144</v>
      </c>
      <c r="E39" s="4">
        <f>(C39+90)/308</f>
        <v>4.5129870129870131</v>
      </c>
      <c r="F39" s="5">
        <f>(C39+100)/308</f>
        <v>4.5454545454545459</v>
      </c>
      <c r="G39" s="4">
        <f>(C39+120)/308</f>
        <v>4.6103896103896105</v>
      </c>
      <c r="H39" s="4">
        <f>(C39+140)/308</f>
        <v>4.6753246753246751</v>
      </c>
      <c r="I39" s="4">
        <f>(C39+160)/308</f>
        <v>4.7402597402597406</v>
      </c>
      <c r="J39" s="4">
        <f>(C39+180)/308</f>
        <v>4.8051948051948052</v>
      </c>
    </row>
    <row r="40" spans="1:10" x14ac:dyDescent="0.2">
      <c r="A40" s="7" t="s">
        <v>18</v>
      </c>
      <c r="B40" s="2" t="s">
        <v>42</v>
      </c>
      <c r="C40" s="2">
        <v>1200</v>
      </c>
      <c r="D40" s="4">
        <f>(C40+75)/308</f>
        <v>4.1396103896103895</v>
      </c>
      <c r="E40" s="4">
        <f>(C40+90)/308</f>
        <v>4.1883116883116882</v>
      </c>
      <c r="F40" s="5">
        <f>(C40+100)/308</f>
        <v>4.220779220779221</v>
      </c>
      <c r="G40" s="4">
        <f>(C40+120)/308</f>
        <v>4.2857142857142856</v>
      </c>
      <c r="H40" s="4">
        <f>(C40+140)/308</f>
        <v>4.3506493506493502</v>
      </c>
      <c r="I40" s="4">
        <f>(C40+160)/308</f>
        <v>4.4155844155844157</v>
      </c>
      <c r="J40" s="4">
        <f>(C40+180)/308</f>
        <v>4.4805194805194803</v>
      </c>
    </row>
    <row r="41" spans="1:10" x14ac:dyDescent="0.2">
      <c r="A41" s="7" t="s">
        <v>18</v>
      </c>
      <c r="B41" s="2" t="s">
        <v>43</v>
      </c>
      <c r="C41" s="2">
        <v>860</v>
      </c>
      <c r="D41" s="4">
        <f>(C41+75)/308</f>
        <v>3.0357142857142856</v>
      </c>
      <c r="E41" s="4">
        <f>(C41+90)/308</f>
        <v>3.0844155844155843</v>
      </c>
      <c r="F41" s="5">
        <f>(C41+100)/308</f>
        <v>3.116883116883117</v>
      </c>
      <c r="G41" s="4">
        <f>(C41+120)/308</f>
        <v>3.1818181818181817</v>
      </c>
      <c r="H41" s="4">
        <f>(C41+140)/308</f>
        <v>3.2467532467532467</v>
      </c>
      <c r="I41" s="4">
        <f>(C41+160)/308</f>
        <v>3.3116883116883118</v>
      </c>
      <c r="J41" s="4">
        <f>(C41+180)/308</f>
        <v>3.3766233766233764</v>
      </c>
    </row>
    <row r="42" spans="1:10" x14ac:dyDescent="0.2">
      <c r="A42" s="7" t="s">
        <v>19</v>
      </c>
      <c r="B42" s="2" t="s">
        <v>44</v>
      </c>
      <c r="C42" s="2">
        <v>2000</v>
      </c>
      <c r="D42" s="4">
        <f>(C42+75)/308</f>
        <v>6.7370129870129869</v>
      </c>
      <c r="E42" s="4">
        <f>(C42+90)/308</f>
        <v>6.7857142857142856</v>
      </c>
      <c r="F42" s="5">
        <f>(C42+100)/308</f>
        <v>6.8181818181818183</v>
      </c>
      <c r="G42" s="4">
        <f>(C42+120)/308</f>
        <v>6.883116883116883</v>
      </c>
      <c r="H42" s="4">
        <f>(C42+140)/308</f>
        <v>6.9480519480519485</v>
      </c>
      <c r="I42" s="4">
        <f>(C42+160)/308</f>
        <v>7.0129870129870131</v>
      </c>
      <c r="J42" s="4">
        <f>(C42+180)/308</f>
        <v>7.0779220779220777</v>
      </c>
    </row>
    <row r="43" spans="1:10" x14ac:dyDescent="0.2">
      <c r="A43" s="7" t="s">
        <v>19</v>
      </c>
      <c r="B43" s="2">
        <v>124</v>
      </c>
      <c r="C43" s="2">
        <v>1900</v>
      </c>
      <c r="D43" s="4">
        <f>(C43+75)/308</f>
        <v>6.412337662337662</v>
      </c>
      <c r="E43" s="4">
        <f>(C43+90)/308</f>
        <v>6.4610389610389607</v>
      </c>
      <c r="F43" s="5">
        <f>(C43+100)/308</f>
        <v>6.4935064935064934</v>
      </c>
      <c r="G43" s="4">
        <f>(C43+120)/308</f>
        <v>6.5584415584415581</v>
      </c>
      <c r="H43" s="4">
        <f>(C43+140)/308</f>
        <v>6.6233766233766236</v>
      </c>
      <c r="I43" s="4">
        <f>(C43+160)/308</f>
        <v>6.6883116883116882</v>
      </c>
      <c r="J43" s="4">
        <f>(C43+180)/308</f>
        <v>6.7532467532467528</v>
      </c>
    </row>
    <row r="44" spans="1:10" x14ac:dyDescent="0.2">
      <c r="A44" s="7" t="s">
        <v>20</v>
      </c>
      <c r="B44" s="2" t="s">
        <v>45</v>
      </c>
      <c r="C44" s="2">
        <v>5000</v>
      </c>
      <c r="D44" s="4">
        <f>(C44+75)/308</f>
        <v>16.477272727272727</v>
      </c>
      <c r="E44" s="4">
        <f>(C44+90)/308</f>
        <v>16.525974025974026</v>
      </c>
      <c r="F44" s="5">
        <f>(C44+100)/308</f>
        <v>16.558441558441558</v>
      </c>
      <c r="G44" s="4">
        <f>(C44+120)/308</f>
        <v>16.623376623376622</v>
      </c>
      <c r="H44" s="4">
        <f>(C44+140)/308</f>
        <v>16.688311688311689</v>
      </c>
      <c r="I44" s="4">
        <f>(C44+160)/308</f>
        <v>16.753246753246753</v>
      </c>
      <c r="J44" s="4">
        <f>(C44+180)/308</f>
        <v>16.818181818181817</v>
      </c>
    </row>
    <row r="45" spans="1:10" x14ac:dyDescent="0.2">
      <c r="A45" s="7" t="s">
        <v>20</v>
      </c>
      <c r="B45" s="2" t="s">
        <v>46</v>
      </c>
      <c r="C45" s="2">
        <v>3500</v>
      </c>
      <c r="D45" s="4">
        <f>(C45+75)/308</f>
        <v>11.607142857142858</v>
      </c>
      <c r="E45" s="4">
        <f>(C45+90)/308</f>
        <v>11.655844155844155</v>
      </c>
      <c r="F45" s="5">
        <f>(C45+100)/308</f>
        <v>11.688311688311689</v>
      </c>
      <c r="G45" s="4">
        <f>(C45+120)/308</f>
        <v>11.753246753246753</v>
      </c>
      <c r="H45" s="4">
        <f>(C45+140)/308</f>
        <v>11.818181818181818</v>
      </c>
      <c r="I45" s="4">
        <f>(C45+160)/308</f>
        <v>11.883116883116884</v>
      </c>
      <c r="J45" s="4">
        <f>(C45+180)/308</f>
        <v>11.948051948051948</v>
      </c>
    </row>
    <row r="46" spans="1:10" x14ac:dyDescent="0.2">
      <c r="A46" s="7" t="s">
        <v>20</v>
      </c>
      <c r="B46" s="2">
        <v>222</v>
      </c>
      <c r="C46" s="2">
        <v>1900</v>
      </c>
      <c r="D46" s="4">
        <f>(C46+75)/308</f>
        <v>6.412337662337662</v>
      </c>
      <c r="E46" s="4">
        <f>(C46+90)/308</f>
        <v>6.4610389610389607</v>
      </c>
      <c r="F46" s="5">
        <f>(C46+100)/308</f>
        <v>6.4935064935064934</v>
      </c>
      <c r="G46" s="4">
        <f>(C46+120)/308</f>
        <v>6.5584415584415581</v>
      </c>
      <c r="H46" s="4">
        <f>(C46+140)/308</f>
        <v>6.6233766233766236</v>
      </c>
      <c r="I46" s="4">
        <f>(C46+160)/308</f>
        <v>6.6883116883116882</v>
      </c>
      <c r="J46" s="4">
        <f>(C46+180)/308</f>
        <v>6.7532467532467528</v>
      </c>
    </row>
    <row r="47" spans="1:10" x14ac:dyDescent="0.2">
      <c r="A47" s="7" t="s">
        <v>20</v>
      </c>
      <c r="B47" s="2">
        <v>80</v>
      </c>
      <c r="C47" s="2">
        <v>1500</v>
      </c>
      <c r="D47" s="4">
        <f>(C47+75)/308</f>
        <v>5.1136363636363633</v>
      </c>
      <c r="E47" s="4">
        <f>(C47+90)/308</f>
        <v>5.162337662337662</v>
      </c>
      <c r="F47" s="5">
        <f>(C47+100)/308</f>
        <v>5.1948051948051948</v>
      </c>
      <c r="G47" s="4">
        <f>(C47+120)/308</f>
        <v>5.2597402597402594</v>
      </c>
      <c r="H47" s="4">
        <f>(C47+140)/308</f>
        <v>5.3246753246753249</v>
      </c>
      <c r="I47" s="4">
        <f>(C47+160)/308</f>
        <v>5.3896103896103895</v>
      </c>
      <c r="J47" s="4">
        <f>(C47+180)/308</f>
        <v>5.4545454545454541</v>
      </c>
    </row>
    <row r="48" spans="1:10" x14ac:dyDescent="0.2">
      <c r="A48" s="7" t="s">
        <v>21</v>
      </c>
      <c r="B48" s="2">
        <v>48</v>
      </c>
      <c r="C48" s="2">
        <v>1430</v>
      </c>
      <c r="D48" s="4">
        <f>(C48+75)/308</f>
        <v>4.8863636363636367</v>
      </c>
      <c r="E48" s="4">
        <f>(C48+90)/308</f>
        <v>4.9350649350649354</v>
      </c>
      <c r="F48" s="5">
        <f>(C48+100)/308</f>
        <v>4.9675324675324672</v>
      </c>
      <c r="G48" s="4">
        <f>(C48+120)/308</f>
        <v>5.0324675324675328</v>
      </c>
      <c r="H48" s="4">
        <f>(C48+140)/308</f>
        <v>5.0974025974025974</v>
      </c>
      <c r="I48" s="4">
        <f>(C48+160)/308</f>
        <v>5.162337662337662</v>
      </c>
      <c r="J48" s="4">
        <f>(C48+180)/308</f>
        <v>5.2272727272727275</v>
      </c>
    </row>
    <row r="49" spans="1:10" x14ac:dyDescent="0.2">
      <c r="A49" s="7" t="s">
        <v>21</v>
      </c>
      <c r="B49" s="2">
        <v>38</v>
      </c>
      <c r="C49" s="2">
        <v>1450</v>
      </c>
      <c r="D49" s="4">
        <f>(C49+75)/308</f>
        <v>4.9512987012987013</v>
      </c>
      <c r="E49" s="4">
        <f>(C49+90)/308</f>
        <v>5</v>
      </c>
      <c r="F49" s="5">
        <f>(C49+100)/308</f>
        <v>5.0324675324675328</v>
      </c>
      <c r="G49" s="4">
        <f>(C49+120)/308</f>
        <v>5.0974025974025974</v>
      </c>
      <c r="H49" s="4">
        <f>(C49+140)/308</f>
        <v>5.162337662337662</v>
      </c>
      <c r="I49" s="4">
        <f>(C49+160)/308</f>
        <v>5.2272727272727275</v>
      </c>
      <c r="J49" s="4">
        <f>(C49+180)/308</f>
        <v>5.2922077922077921</v>
      </c>
    </row>
    <row r="50" spans="1:10" x14ac:dyDescent="0.2">
      <c r="A50" s="7" t="s">
        <v>22</v>
      </c>
      <c r="B50" s="2">
        <v>45</v>
      </c>
      <c r="C50" s="2">
        <v>1850</v>
      </c>
      <c r="D50" s="4">
        <f>(C50+75)/308</f>
        <v>6.25</v>
      </c>
      <c r="E50" s="4">
        <f>(C50+90)/308</f>
        <v>6.2987012987012987</v>
      </c>
      <c r="F50" s="5">
        <f>(C50+100)/308</f>
        <v>6.3311688311688314</v>
      </c>
      <c r="G50" s="4">
        <f>(C50+120)/308</f>
        <v>6.3961038961038961</v>
      </c>
      <c r="H50" s="4">
        <f>(C50+140)/308</f>
        <v>6.4610389610389607</v>
      </c>
      <c r="I50" s="4">
        <f>(C50+160)/308</f>
        <v>6.5259740259740262</v>
      </c>
      <c r="J50" s="4">
        <f>(C50+180)/308</f>
        <v>6.5909090909090908</v>
      </c>
    </row>
    <row r="51" spans="1:10" x14ac:dyDescent="0.2">
      <c r="A51" s="7" t="s">
        <v>22</v>
      </c>
      <c r="B51" s="2">
        <v>35</v>
      </c>
      <c r="C51" s="2">
        <v>1950</v>
      </c>
      <c r="D51" s="4">
        <f>(C51+75)/308</f>
        <v>6.5746753246753249</v>
      </c>
      <c r="E51" s="4">
        <f>(C51+90)/308</f>
        <v>6.6233766233766236</v>
      </c>
      <c r="F51" s="5">
        <f>(C51+100)/308</f>
        <v>6.6558441558441555</v>
      </c>
      <c r="G51" s="4">
        <f>(C51+120)/308</f>
        <v>6.720779220779221</v>
      </c>
      <c r="H51" s="4">
        <f>(C51+140)/308</f>
        <v>6.7857142857142856</v>
      </c>
      <c r="I51" s="4">
        <f>(C51+160)/308</f>
        <v>6.8506493506493502</v>
      </c>
      <c r="J51" s="4">
        <f>(C51+180)/308</f>
        <v>6.9155844155844157</v>
      </c>
    </row>
    <row r="52" spans="1:10" x14ac:dyDescent="0.2">
      <c r="A52" s="7" t="s">
        <v>23</v>
      </c>
      <c r="B52" s="2">
        <v>44</v>
      </c>
      <c r="C52" s="2">
        <v>1400</v>
      </c>
      <c r="D52" s="4">
        <f>(C52+75)/308</f>
        <v>4.7889610389610393</v>
      </c>
      <c r="E52" s="4">
        <f>(C52+90)/308</f>
        <v>4.837662337662338</v>
      </c>
      <c r="F52" s="5">
        <f>(C52+100)/308</f>
        <v>4.8701298701298699</v>
      </c>
      <c r="G52" s="4">
        <f>(C52+120)/308</f>
        <v>4.9350649350649354</v>
      </c>
      <c r="H52" s="4">
        <f>(C52+140)/308</f>
        <v>5</v>
      </c>
      <c r="I52" s="4">
        <f>(C52+160)/308</f>
        <v>5.0649350649350646</v>
      </c>
      <c r="J52" s="4">
        <f>(C52+180)/308</f>
        <v>5.1298701298701301</v>
      </c>
    </row>
    <row r="53" spans="1:10" x14ac:dyDescent="0.2">
      <c r="A53" s="7" t="s">
        <v>24</v>
      </c>
      <c r="B53" s="2">
        <v>46</v>
      </c>
      <c r="C53" s="2">
        <v>1400</v>
      </c>
      <c r="D53" s="4">
        <f>(C53+75)/308</f>
        <v>4.7889610389610393</v>
      </c>
      <c r="E53" s="4">
        <f>(C53+90)/308</f>
        <v>4.837662337662338</v>
      </c>
      <c r="F53" s="5">
        <f>(C53+100)/308</f>
        <v>4.8701298701298699</v>
      </c>
      <c r="G53" s="4">
        <f>(C53+120)/308</f>
        <v>4.9350649350649354</v>
      </c>
      <c r="H53" s="4">
        <f>(C53+140)/308</f>
        <v>5</v>
      </c>
      <c r="I53" s="4">
        <f>(C53+160)/308</f>
        <v>5.0649350649350646</v>
      </c>
      <c r="J53" s="4">
        <f>(C53+180)/308</f>
        <v>5.1298701298701301</v>
      </c>
    </row>
    <row r="54" spans="1:10" x14ac:dyDescent="0.2">
      <c r="A54" s="7" t="s">
        <v>25</v>
      </c>
      <c r="B54" s="2" t="s">
        <v>25</v>
      </c>
      <c r="C54" s="2">
        <v>1250</v>
      </c>
      <c r="D54" s="4">
        <f>(C54+75)/308</f>
        <v>4.3019480519480515</v>
      </c>
      <c r="E54" s="4">
        <f>(C54+90)/308</f>
        <v>4.3506493506493502</v>
      </c>
      <c r="F54" s="5">
        <f>(C54+100)/308</f>
        <v>4.383116883116883</v>
      </c>
      <c r="G54" s="4">
        <f>(C54+120)/308</f>
        <v>4.4480519480519485</v>
      </c>
      <c r="H54" s="4">
        <f>(C54+140)/308</f>
        <v>4.5129870129870131</v>
      </c>
      <c r="I54" s="4">
        <f>(C54+160)/308</f>
        <v>4.5779220779220777</v>
      </c>
      <c r="J54" s="4">
        <f>(C54+180)/308</f>
        <v>4.6428571428571432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 Dajahetti Muhamderamge</dc:creator>
  <cp:lastModifiedBy>Raveen Dajahetti Muhamderamge</cp:lastModifiedBy>
  <dcterms:created xsi:type="dcterms:W3CDTF">2026-01-21T15:57:28Z</dcterms:created>
  <dcterms:modified xsi:type="dcterms:W3CDTF">2026-01-21T16:18:13Z</dcterms:modified>
</cp:coreProperties>
</file>